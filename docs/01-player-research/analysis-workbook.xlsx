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ecruitment" sheetId="2" state="visible" r:id="rId2"/>
    <sheet name="Interview log" sheetId="3" state="visible" r:id="rId3"/>
    <sheet name="Survey responses" sheetId="4" state="visible" r:id="rId4"/>
    <sheet name="Survey summary" sheetId="5" state="visible" r:id="rId5"/>
    <sheet name="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0001A"/>
      <sz val="14"/>
    </font>
    <font>
      <color rgb="00000000"/>
      <sz val="11"/>
    </font>
    <font>
      <b val="1"/>
      <color rgb="00000000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9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Penrose · Player Research Workbook (#28)</t>
        </is>
      </c>
    </row>
    <row r="2">
      <c r="A2" s="2" t="inlineStr">
        <is>
          <t>Kit: docs/01-player-research/ (README, interview guide, survey).</t>
        </is>
      </c>
    </row>
    <row r="3">
      <c r="A3" s="2" t="inlineStr"/>
    </row>
    <row r="4">
      <c r="A4" s="3" t="inlineStr">
        <is>
          <t>How to use</t>
        </is>
      </c>
    </row>
    <row r="5">
      <c r="A5" s="2" t="inlineStr">
        <is>
          <t>1. Recruitment: track who you contact (IDs only; no names stored here).</t>
        </is>
      </c>
    </row>
    <row r="6">
      <c r="A6" s="2" t="inlineStr">
        <is>
          <t>2. Interview log: one row per interview, logged within 24 h. Tag each assumption A1–A9 as Supports / Contradicts / blank.</t>
        </is>
      </c>
    </row>
    <row r="7">
      <c r="A7" s="2" t="inlineStr">
        <is>
          <t>3. Survey responses: Microsoft Forms → Responses → Open in Excel → paste rows here (columns match survey IDs S1–S17).</t>
        </is>
      </c>
    </row>
    <row r="8">
      <c r="A8" s="2" t="inlineStr">
        <is>
          <t>4. Survey summary: calculates automatically from Survey responses.</t>
        </is>
      </c>
    </row>
    <row r="9">
      <c r="A9" s="2" t="inlineStr">
        <is>
          <t>5. Assumptions: counts interview evidence and shows the survey signal; suggests a status. Set the Final status yourself.</t>
        </is>
      </c>
    </row>
    <row r="10">
      <c r="A10" s="2" t="inlineStr"/>
    </row>
    <row r="11">
      <c r="A11" s="3" t="inlineStr">
        <is>
          <t>Ethics</t>
        </is>
      </c>
    </row>
    <row r="12">
      <c r="A12" s="2" t="inlineStr">
        <is>
          <t>Participants are 18+. Never record eating-disorder or self-harm history, weights, sizes or procedures. Delete contact details when research is done.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3" customWidth="1" min="5" max="5"/>
    <col width="14" customWidth="1" min="6" max="6"/>
    <col width="14" customWidth="1" min="7" max="7"/>
    <col width="50" customWidth="1" min="8" max="8"/>
  </cols>
  <sheetData>
    <row r="1">
      <c r="A1" s="4" t="inlineStr">
        <is>
          <t>Participant ID</t>
        </is>
      </c>
      <c r="B1" s="4" t="inlineStr">
        <is>
          <t>Persona group</t>
        </is>
      </c>
      <c r="C1" s="4" t="inlineStr">
        <is>
          <t>Recruited from</t>
        </is>
      </c>
      <c r="D1" s="4" t="inlineStr">
        <is>
          <t>Contacted on</t>
        </is>
      </c>
      <c r="E1" s="4" t="inlineStr">
        <is>
          <t>Consent (Y/N)</t>
        </is>
      </c>
      <c r="F1" s="4" t="inlineStr">
        <is>
          <t>Interview date</t>
        </is>
      </c>
      <c r="G1" s="4" t="inlineStr">
        <is>
          <t>Status</t>
        </is>
      </c>
      <c r="H1" s="4" t="inlineStr">
        <is>
          <t>Notes</t>
        </is>
      </c>
    </row>
    <row r="2">
      <c r="A2" t="inlineStr">
        <is>
          <t>P01</t>
        </is>
      </c>
    </row>
    <row r="3">
      <c r="A3" t="inlineStr">
        <is>
          <t>P02</t>
        </is>
      </c>
    </row>
    <row r="4">
      <c r="A4" t="inlineStr">
        <is>
          <t>P03</t>
        </is>
      </c>
    </row>
    <row r="5">
      <c r="A5" t="inlineStr">
        <is>
          <t>P04</t>
        </is>
      </c>
    </row>
    <row r="6">
      <c r="A6" t="inlineStr">
        <is>
          <t>P05</t>
        </is>
      </c>
    </row>
    <row r="7">
      <c r="A7" t="inlineStr">
        <is>
          <t>P06</t>
        </is>
      </c>
    </row>
    <row r="8">
      <c r="A8" t="inlineStr">
        <is>
          <t>P07</t>
        </is>
      </c>
    </row>
    <row r="9">
      <c r="A9" t="inlineStr">
        <is>
          <t>P08</t>
        </is>
      </c>
    </row>
    <row r="10">
      <c r="A10" t="inlineStr">
        <is>
          <t>P09</t>
        </is>
      </c>
    </row>
    <row r="11">
      <c r="A11" t="inlineStr">
        <is>
          <t>P10</t>
        </is>
      </c>
    </row>
    <row r="12">
      <c r="A12" t="inlineStr">
        <is>
          <t>P11</t>
        </is>
      </c>
    </row>
    <row r="13">
      <c r="A13" t="inlineStr">
        <is>
          <t>P12</t>
        </is>
      </c>
    </row>
    <row r="14">
      <c r="A14" t="inlineStr">
        <is>
          <t>P13</t>
        </is>
      </c>
    </row>
    <row r="15">
      <c r="A15" t="inlineStr">
        <is>
          <t>P14</t>
        </is>
      </c>
    </row>
    <row r="16">
      <c r="A16" t="inlineStr">
        <is>
          <t>P15</t>
        </is>
      </c>
    </row>
    <row r="17">
      <c r="A17" t="inlineStr">
        <is>
          <t>P16</t>
        </is>
      </c>
    </row>
  </sheetData>
  <dataValidations count="3">
    <dataValidation sqref="B2:B200" showDropDown="0" showInputMessage="0" showErrorMessage="0" allowBlank="1" type="list">
      <formula1>"P1,P2,P3,C1"</formula1>
    </dataValidation>
    <dataValidation sqref="E2:E200" showDropDown="0" showInputMessage="0" showErrorMessage="0" allowBlank="1" type="list">
      <formula1>"Y,N"</formula1>
    </dataValidation>
    <dataValidation sqref="G2:G200" showDropDown="0" showInputMessage="0" showErrorMessage="0" allowBlank="1" type="list">
      <formula1>"To contact,Scheduled,Done,Declined"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30" customWidth="1" min="22" max="22"/>
  </cols>
  <sheetData>
    <row r="1">
      <c r="A1" s="4" t="inlineStr">
        <is>
          <t>Participant ID</t>
        </is>
      </c>
      <c r="B1" s="4" t="inlineStr">
        <is>
          <t>Date</t>
        </is>
      </c>
      <c r="C1" s="4" t="inlineStr">
        <is>
          <t>Persona group</t>
        </is>
      </c>
      <c r="D1" s="4" t="inlineStr">
        <is>
          <t>Last story game finished</t>
        </is>
      </c>
      <c r="E1" s="4" t="inlineStr">
        <is>
          <t>How they found it</t>
        </is>
      </c>
      <c r="F1" s="4" t="inlineStr">
        <is>
          <t>Why they bought it</t>
        </is>
      </c>
      <c r="G1" s="4" t="inlineStr">
        <is>
          <t>Replayed? How</t>
        </is>
      </c>
      <c r="H1" s="4" t="inlineStr">
        <is>
          <t>Horror boundaries / settings</t>
        </is>
      </c>
      <c r="I1" s="4" t="inlineStr">
        <is>
          <t>Culture notes</t>
        </is>
      </c>
      <c r="J1" s="4" t="inlineStr">
        <is>
          <t>Quiz guess (exact words)</t>
        </is>
      </c>
      <c r="K1" s="4" t="inlineStr">
        <is>
          <t>Concept reaction</t>
        </is>
      </c>
      <c r="L1" s="4" t="inlineStr">
        <is>
          <t>Best quotes</t>
        </is>
      </c>
      <c r="M1" s="4" t="inlineStr">
        <is>
          <t>A1</t>
        </is>
      </c>
      <c r="N1" s="4" t="inlineStr">
        <is>
          <t>A2</t>
        </is>
      </c>
      <c r="O1" s="4" t="inlineStr">
        <is>
          <t>A3</t>
        </is>
      </c>
      <c r="P1" s="4" t="inlineStr">
        <is>
          <t>A4</t>
        </is>
      </c>
      <c r="Q1" s="4" t="inlineStr">
        <is>
          <t>A5</t>
        </is>
      </c>
      <c r="R1" s="4" t="inlineStr">
        <is>
          <t>A6</t>
        </is>
      </c>
      <c r="S1" s="4" t="inlineStr">
        <is>
          <t>A7</t>
        </is>
      </c>
      <c r="T1" s="4" t="inlineStr">
        <is>
          <t>A8</t>
        </is>
      </c>
      <c r="U1" s="4" t="inlineStr">
        <is>
          <t>A9</t>
        </is>
      </c>
      <c r="V1" s="4" t="inlineStr">
        <is>
          <t>Follow-ups</t>
        </is>
      </c>
    </row>
    <row r="2">
      <c r="A2" t="inlineStr">
        <is>
          <t>P01</t>
        </is>
      </c>
    </row>
    <row r="3">
      <c r="A3" t="inlineStr">
        <is>
          <t>P02</t>
        </is>
      </c>
    </row>
    <row r="4">
      <c r="A4" t="inlineStr">
        <is>
          <t>P03</t>
        </is>
      </c>
    </row>
    <row r="5">
      <c r="A5" t="inlineStr">
        <is>
          <t>P04</t>
        </is>
      </c>
    </row>
    <row r="6">
      <c r="A6" t="inlineStr">
        <is>
          <t>P05</t>
        </is>
      </c>
    </row>
    <row r="7">
      <c r="A7" t="inlineStr">
        <is>
          <t>P06</t>
        </is>
      </c>
    </row>
    <row r="8">
      <c r="A8" t="inlineStr">
        <is>
          <t>P07</t>
        </is>
      </c>
    </row>
    <row r="9">
      <c r="A9" t="inlineStr">
        <is>
          <t>P08</t>
        </is>
      </c>
    </row>
    <row r="10">
      <c r="A10" t="inlineStr">
        <is>
          <t>P09</t>
        </is>
      </c>
    </row>
    <row r="11">
      <c r="A11" t="inlineStr">
        <is>
          <t>P10</t>
        </is>
      </c>
    </row>
    <row r="12">
      <c r="A12" t="inlineStr">
        <is>
          <t>P11</t>
        </is>
      </c>
    </row>
    <row r="13">
      <c r="A13" t="inlineStr">
        <is>
          <t>P12</t>
        </is>
      </c>
    </row>
    <row r="14">
      <c r="A14" t="inlineStr">
        <is>
          <t>P13</t>
        </is>
      </c>
    </row>
    <row r="15">
      <c r="A15" t="inlineStr">
        <is>
          <t>P14</t>
        </is>
      </c>
    </row>
    <row r="16">
      <c r="A16" t="inlineStr">
        <is>
          <t>P15</t>
        </is>
      </c>
    </row>
    <row r="17">
      <c r="A17" t="inlineStr">
        <is>
          <t>P16</t>
        </is>
      </c>
    </row>
  </sheetData>
  <dataValidations count="2">
    <dataValidation sqref="C2:C200" showDropDown="0" showInputMessage="0" showErrorMessage="0" allowBlank="1" type="list">
      <formula1>"P1,P2,P3,C1"</formula1>
    </dataValidation>
    <dataValidation sqref="M2:U200" showDropDown="0" showInputMessage="0" showErrorMessage="0" allowBlank="1" type="list">
      <formula1>"Supports,Contradicts"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12" customWidth="1" min="5" max="5"/>
    <col width="26" customWidth="1" min="6" max="6"/>
    <col width="30" customWidth="1" min="7" max="7"/>
    <col width="30" customWidth="1" min="8" max="8"/>
    <col width="40" customWidth="1" min="9" max="9"/>
    <col width="14" customWidth="1" min="10" max="10"/>
    <col width="14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28" customWidth="1" min="17" max="17"/>
    <col width="24" customWidth="1" min="18" max="18"/>
  </cols>
  <sheetData>
    <row r="1">
      <c r="A1" s="4" t="inlineStr">
        <is>
          <t>Response ID</t>
        </is>
      </c>
      <c r="B1" s="4" t="inlineStr">
        <is>
          <t>S1 Age</t>
        </is>
      </c>
      <c r="C1" s="4" t="inlineStr">
        <is>
          <t>S2 Region</t>
        </is>
      </c>
      <c r="D1" s="4" t="inlineStr">
        <is>
          <t>S3 Gender</t>
        </is>
      </c>
      <c r="E1" s="4" t="inlineStr">
        <is>
          <t>S4 Hours/week</t>
        </is>
      </c>
      <c r="F1" s="4" t="inlineStr">
        <is>
          <t>S5 Platforms</t>
        </is>
      </c>
      <c r="G1" s="4" t="inlineStr">
        <is>
          <t>S6 Games played</t>
        </is>
      </c>
      <c r="H1" s="4" t="inlineStr">
        <is>
          <t>S7 How they find games</t>
        </is>
      </c>
      <c r="I1" s="4" t="inlineStr">
        <is>
          <t>S8 Why they bought the last one</t>
        </is>
      </c>
      <c r="J1" s="4" t="inlineStr">
        <is>
          <t>S9 Free version → bought</t>
        </is>
      </c>
      <c r="K1" s="4" t="inlineStr">
        <is>
          <t>S10 Last price</t>
        </is>
      </c>
      <c r="L1" s="4" t="inlineStr">
        <is>
          <t>S11 Replay for endings</t>
        </is>
      </c>
      <c r="M1" s="4" t="inlineStr">
        <is>
          <t>S12 Control how graphic</t>
        </is>
      </c>
      <c r="N1" s="4" t="inlineStr">
        <is>
          <t>S13 Interest in theme</t>
        </is>
      </c>
      <c r="O1" s="4" t="inlineStr">
        <is>
          <t>S14 Culture not over-explained</t>
        </is>
      </c>
      <c r="P1" s="4" t="inlineStr">
        <is>
          <t>S15 Quiz guess</t>
        </is>
      </c>
      <c r="Q1" s="4" t="inlineStr">
        <is>
          <t>S16 Appearance pressure</t>
        </is>
      </c>
      <c r="R1" s="4" t="inlineStr">
        <is>
          <t>S17 Contact (delete after research)</t>
        </is>
      </c>
    </row>
    <row r="2"/>
  </sheetData>
  <dataValidations count="4">
    <dataValidation sqref="L2:L2000" showDropDown="0" showInputMessage="0" showErrorMessage="0" allowBlank="1" type="list">
      <formula1>"Strongly disagree,Disagree,Neutral,Agree,Strongly agree"</formula1>
    </dataValidation>
    <dataValidation sqref="M2:M2000" showDropDown="0" showInputMessage="0" showErrorMessage="0" allowBlank="1" type="list">
      <formula1>"Strongly disagree,Disagree,Neutral,Agree,Strongly agree"</formula1>
    </dataValidation>
    <dataValidation sqref="N2:N2000" showDropDown="0" showInputMessage="0" showErrorMessage="0" allowBlank="1" type="list">
      <formula1>"Strongly disagree,Disagree,Neutral,Agree,Strongly agree"</formula1>
    </dataValidation>
    <dataValidation sqref="O2:O2000" showDropDown="0" showInputMessage="0" showErrorMessage="0" allowBlank="1" type="list">
      <formula1>"Strongly disagree,Disagree,Neutral,Agree,Strongly agree"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60" customWidth="1" min="3" max="3"/>
  </cols>
  <sheetData>
    <row r="1">
      <c r="A1" s="4" t="inlineStr">
        <is>
          <t>Measure</t>
        </is>
      </c>
      <c r="B1" s="4" t="inlineStr">
        <is>
          <t>Value</t>
        </is>
      </c>
      <c r="C1" s="4" t="inlineStr">
        <is>
          <t>Notes</t>
        </is>
      </c>
    </row>
    <row r="2">
      <c r="A2" t="inlineStr">
        <is>
          <t>Responses (n)</t>
        </is>
      </c>
      <c r="B2">
        <f>COUNTA('Survey responses'!A2:A2000)</f>
        <v/>
      </c>
      <c r="C2" t="inlineStr">
        <is>
          <t>Rows with a Response ID</t>
        </is>
      </c>
    </row>
    <row r="3">
      <c r="A3" t="inlineStr">
        <is>
          <t>A1 · Agree they replay for endings (% agree)</t>
        </is>
      </c>
      <c r="B3" s="5">
        <f>IFERROR((COUNTIF('Survey responses'!L2:L2000,"Agree")+COUNTIF('Survey responses'!L2:L2000,"Strongly agree"))/COUNTA('Survey responses'!L2:L2000),"")</f>
        <v/>
      </c>
      <c r="C3" t="inlineStr">
        <is>
          <t>S11: Agree + Strongly agree ÷ answers</t>
        </is>
      </c>
    </row>
    <row r="4">
      <c r="A4" t="inlineStr">
        <is>
          <t>A5 · Agree they like controlling how graphic (% agree)</t>
        </is>
      </c>
      <c r="B4" s="5">
        <f>IFERROR((COUNTIF('Survey responses'!M2:M2000,"Agree")+COUNTIF('Survey responses'!M2:M2000,"Strongly agree"))/COUNTA('Survey responses'!M2:M2000),"")</f>
        <v/>
      </c>
      <c r="C4" t="inlineStr">
        <is>
          <t>S12: Agree + Strongly agree ÷ answers</t>
        </is>
      </c>
    </row>
    <row r="5">
      <c r="A5" t="inlineStr">
        <is>
          <t>A3 · Agree they're interested in the theme (% agree)</t>
        </is>
      </c>
      <c r="B5" s="5">
        <f>IFERROR((COUNTIF('Survey responses'!N2:N2000,"Agree")+COUNTIF('Survey responses'!N2:N2000,"Strongly agree"))/COUNTA('Survey responses'!N2:N2000),"")</f>
        <v/>
      </c>
      <c r="C5" t="inlineStr">
        <is>
          <t>S13: Agree + Strongly agree ÷ answers</t>
        </is>
      </c>
    </row>
    <row r="6">
      <c r="A6" t="inlineStr">
        <is>
          <t>A6 · Agree culture shouldn't be over-explained (% agree)</t>
        </is>
      </c>
      <c r="B6" s="5">
        <f>IFERROR((COUNTIF('Survey responses'!O2:O2000,"Agree")+COUNTIF('Survey responses'!O2:O2000,"Strongly agree"))/COUNTA('Survey responses'!O2:O2000),"")</f>
        <v/>
      </c>
      <c r="C6" t="inlineStr">
        <is>
          <t>S14: Agree + Strongly agree ÷ answers</t>
        </is>
      </c>
    </row>
    <row r="7">
      <c r="A7" t="inlineStr">
        <is>
          <t>A4 · Played a free version, then bought (% yes)</t>
        </is>
      </c>
      <c r="B7" s="5">
        <f>IFERROR(COUNTIF('Survey responses'!J2:J2000,"Yes")/COUNTA('Survey responses'!J2:J2000),"")</f>
        <v/>
      </c>
      <c r="C7" t="inlineStr">
        <is>
          <t>S9</t>
        </is>
      </c>
    </row>
    <row r="8">
      <c r="A8" t="inlineStr">
        <is>
          <t>A7 · Last story game cost $10–14.99 (% of answers)</t>
        </is>
      </c>
      <c r="B8" s="5">
        <f>IFERROR(COUNTIF('Survey responses'!K2:K2000,"$10–14.99")/COUNTA('Survey responses'!K2:K2000),"")</f>
        <v/>
      </c>
      <c r="C8" t="inlineStr">
        <is>
          <t>S10</t>
        </is>
      </c>
    </row>
    <row r="9">
      <c r="A9" t="inlineStr">
        <is>
          <t>A9 · Find games through YouTube Let's Plays (%)</t>
        </is>
      </c>
      <c r="B9" s="5">
        <f>IFERROR(COUNTIF('Survey responses'!H2:H2000,"*YouTube Let*")/COUNTA('Survey responses'!A2:A2000),"")</f>
        <v/>
      </c>
      <c r="C9" t="inlineStr">
        <is>
          <t>S7 (multiple answers)</t>
        </is>
      </c>
    </row>
    <row r="10">
      <c r="A10" t="inlineStr">
        <is>
          <t>A9 · Find games through Twitch (%)</t>
        </is>
      </c>
      <c r="B10" s="5">
        <f>IFERROR(COUNTIF('Survey responses'!H2:H2000,"*Twitch*")/COUNTA('Survey responses'!A2:A2000),"")</f>
        <v/>
      </c>
      <c r="C10" t="inlineStr">
        <is>
          <t>S7</t>
        </is>
      </c>
    </row>
    <row r="11">
      <c r="A11" t="inlineStr">
        <is>
          <t>A4 · Find games through itch.io (%)</t>
        </is>
      </c>
      <c r="B11" s="5">
        <f>IFERROR(COUNTIF('Survey responses'!H2:H2000,"*itch.io*")/COUNTA('Survey responses'!A2:A2000),"")</f>
        <v/>
      </c>
      <c r="C11" t="inlineStr">
        <is>
          <t>S7</t>
        </is>
      </c>
    </row>
    <row r="12">
      <c r="A12" t="inlineStr">
        <is>
          <t>A8 · Men reporting muscle or strength pressure (%)</t>
        </is>
      </c>
      <c r="B12" s="5">
        <f>IFERROR(COUNTIFS('Survey responses'!D2:D2000,"Man",'Survey responses'!Q2:Q2000,"*Muscle*")/COUNTIF('Survey responses'!D2:D2000,"Man"),"")</f>
        <v/>
      </c>
      <c r="C12" t="inlineStr">
        <is>
          <t>S3 × S16</t>
        </is>
      </c>
    </row>
    <row r="13">
      <c r="A13" t="inlineStr">
        <is>
          <t>A2 · Quiz guesses to code by hand</t>
        </is>
      </c>
      <c r="B13" t="inlineStr"/>
      <c r="C13" t="inlineStr">
        <is>
          <t>Read S15 and count guesses that mention approval, family/friends/work or social media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0" customWidth="1" min="2" max="2"/>
    <col width="10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Assumption</t>
        </is>
      </c>
      <c r="C1" s="4" t="inlineStr">
        <is>
          <t>Personas</t>
        </is>
      </c>
      <c r="D1" s="4" t="inlineStr">
        <is>
          <t>Interview: supports</t>
        </is>
      </c>
      <c r="E1" s="4" t="inlineStr">
        <is>
          <t>Interview: contradicts</t>
        </is>
      </c>
      <c r="F1" s="4" t="inlineStr">
        <is>
          <t>Survey signal</t>
        </is>
      </c>
      <c r="G1" s="4" t="inlineStr">
        <is>
          <t>Suggested status</t>
        </is>
      </c>
      <c r="H1" s="4" t="inlineStr">
        <is>
          <t>Final status</t>
        </is>
      </c>
      <c r="I1" s="4" t="inlineStr">
        <is>
          <t>Decision / what changes</t>
        </is>
      </c>
    </row>
    <row r="2">
      <c r="A2" t="inlineStr">
        <is>
          <t>A1</t>
        </is>
      </c>
      <c r="B2" s="6" t="inlineStr">
        <is>
          <t>Narrative-horror fans replay for other endings</t>
        </is>
      </c>
      <c r="C2" t="inlineStr">
        <is>
          <t>P1</t>
        </is>
      </c>
      <c r="D2">
        <f>COUNTIF('Interview log'!M2:M200,"Supports")</f>
        <v/>
      </c>
      <c r="E2">
        <f>COUNTIF('Interview log'!M2:M200,"Contradicts")</f>
        <v/>
      </c>
      <c r="F2" s="5">
        <f>'Survey summary'!B3</f>
        <v/>
      </c>
      <c r="G2">
        <f>IF(D2+E2=0,"Not tested",IF(AND(D2&gt;=3,D2&gt;=2*E2),"Likely true",IF(E2&gt;D2,"Likely false","Unclear")))</f>
        <v/>
      </c>
    </row>
    <row r="3">
      <c r="A3" t="inlineStr">
        <is>
          <t>A2</t>
        </is>
      </c>
      <c r="B3" s="6" t="inlineStr">
        <is>
          <t>Players don't guess what the quiz measures</t>
        </is>
      </c>
      <c r="C3" t="inlineStr">
        <is>
          <t>P1, P2</t>
        </is>
      </c>
      <c r="D3">
        <f>COUNTIF('Interview log'!N2:N200,"Supports")</f>
        <v/>
      </c>
      <c r="E3">
        <f>COUNTIF('Interview log'!N2:N200,"Contradicts")</f>
        <v/>
      </c>
      <c r="F3" s="5" t="inlineStr">
        <is>
          <t>Code S15 by hand</t>
        </is>
      </c>
      <c r="G3">
        <f>IF(D3+E3=0,"Not tested",IF(AND(D3&gt;=3,D3&gt;=2*E3),"Likely true",IF(E3&gt;D3,"Likely false","Unclear")))</f>
        <v/>
      </c>
    </row>
    <row r="4">
      <c r="A4" t="inlineStr">
        <is>
          <t>A3</t>
        </is>
      </c>
      <c r="B4" s="6" t="inlineStr">
        <is>
          <t>Dress-up and cute-horror fans would play a game about beauty standards if it doesn't mock them</t>
        </is>
      </c>
      <c r="C4" t="inlineStr">
        <is>
          <t>P2</t>
        </is>
      </c>
      <c r="D4">
        <f>COUNTIF('Interview log'!O2:O200,"Supports")</f>
        <v/>
      </c>
      <c r="E4">
        <f>COUNTIF('Interview log'!O2:O200,"Contradicts")</f>
        <v/>
      </c>
      <c r="F4" s="5">
        <f>'Survey summary'!B5</f>
        <v/>
      </c>
      <c r="G4">
        <f>IF(D4+E4=0,"Not tested",IF(AND(D4&gt;=3,D4&gt;=2*E4),"Likely true",IF(E4&gt;D4,"Likely false","Unclear")))</f>
        <v/>
      </c>
    </row>
    <row r="5">
      <c r="A5" t="inlineStr">
        <is>
          <t>A4</t>
        </is>
      </c>
      <c r="B5" s="6" t="inlineStr">
        <is>
          <t>A free itch.io slice leads to Steam wishlists</t>
        </is>
      </c>
      <c r="C5" t="inlineStr">
        <is>
          <t>P2</t>
        </is>
      </c>
      <c r="D5">
        <f>COUNTIF('Interview log'!P2:P200,"Supports")</f>
        <v/>
      </c>
      <c r="E5">
        <f>COUNTIF('Interview log'!P2:P200,"Contradicts")</f>
        <v/>
      </c>
      <c r="F5" s="5">
        <f>'Survey summary'!B7</f>
        <v/>
      </c>
      <c r="G5">
        <f>IF(D5+E5=0,"Not tested",IF(AND(D5&gt;=3,D5&gt;=2*E5),"Likely true",IF(E5&gt;D5,"Likely false","Unclear")))</f>
        <v/>
      </c>
    </row>
    <row r="6">
      <c r="A6" t="inlineStr">
        <is>
          <t>A5</t>
        </is>
      </c>
      <c r="B6" s="6" t="inlineStr">
        <is>
          <t>Players with lived experience will play if they control intensity</t>
        </is>
      </c>
      <c r="C6" t="inlineStr">
        <is>
          <t>P3</t>
        </is>
      </c>
      <c r="D6">
        <f>COUNTIF('Interview log'!Q2:Q200,"Supports")</f>
        <v/>
      </c>
      <c r="E6">
        <f>COUNTIF('Interview log'!Q2:Q200,"Contradicts")</f>
        <v/>
      </c>
      <c r="F6" s="5">
        <f>'Survey summary'!B4</f>
        <v/>
      </c>
      <c r="G6">
        <f>IF(D6+E6=0,"Not tested",IF(AND(D6&gt;=3,D6&gt;=2*E6),"Likely true",IF(E6&gt;D6,"Likely false","Unclear")))</f>
        <v/>
      </c>
    </row>
    <row r="7">
      <c r="A7" t="inlineStr">
        <is>
          <t>A6</t>
        </is>
      </c>
      <c r="B7" s="6" t="inlineStr">
        <is>
          <t>Korean cultural detail interests international players</t>
        </is>
      </c>
      <c r="C7" t="inlineStr">
        <is>
          <t>All</t>
        </is>
      </c>
      <c r="D7">
        <f>COUNTIF('Interview log'!R2:R200,"Supports")</f>
        <v/>
      </c>
      <c r="E7">
        <f>COUNTIF('Interview log'!R2:R200,"Contradicts")</f>
        <v/>
      </c>
      <c r="F7" s="5">
        <f>'Survey summary'!B6</f>
        <v/>
      </c>
      <c r="G7">
        <f>IF(D7+E7=0,"Not tested",IF(AND(D7&gt;=3,D7&gt;=2*E7),"Likely true",IF(E7&gt;D7,"Likely false","Unclear")))</f>
        <v/>
      </c>
    </row>
    <row r="8">
      <c r="A8" t="inlineStr">
        <is>
          <t>A7</t>
        </is>
      </c>
      <c r="B8" s="6" t="inlineStr">
        <is>
          <t>$9.99–$14.99 for 2–4 h feels fair</t>
        </is>
      </c>
      <c r="C8" t="inlineStr">
        <is>
          <t>All</t>
        </is>
      </c>
      <c r="D8">
        <f>COUNTIF('Interview log'!S2:S200,"Supports")</f>
        <v/>
      </c>
      <c r="E8">
        <f>COUNTIF('Interview log'!S2:S200,"Contradicts")</f>
        <v/>
      </c>
      <c r="F8" s="5">
        <f>'Survey summary'!B8</f>
        <v/>
      </c>
      <c r="G8">
        <f>IF(D8+E8=0,"Not tested",IF(AND(D8&gt;=3,D8&gt;=2*E8),"Likely true",IF(E8&gt;D8,"Likely false","Unclear")))</f>
        <v/>
      </c>
    </row>
    <row r="9">
      <c r="A9" t="inlineStr">
        <is>
          <t>A8</t>
        </is>
      </c>
      <c r="B9" s="6" t="inlineStr">
        <is>
          <t>Male players relate to the Stronger path</t>
        </is>
      </c>
      <c r="C9" t="inlineStr">
        <is>
          <t>P1</t>
        </is>
      </c>
      <c r="D9">
        <f>COUNTIF('Interview log'!T2:T200,"Supports")</f>
        <v/>
      </c>
      <c r="E9">
        <f>COUNTIF('Interview log'!T2:T200,"Contradicts")</f>
        <v/>
      </c>
      <c r="F9" s="5">
        <f>'Survey summary'!B12</f>
        <v/>
      </c>
      <c r="G9">
        <f>IF(D9+E9=0,"Not tested",IF(AND(D9&gt;=3,D9&gt;=2*E9),"Likely true",IF(E9&gt;D9,"Likely false","Unclear")))</f>
        <v/>
      </c>
    </row>
    <row r="10">
      <c r="A10" t="inlineStr">
        <is>
          <t>A9</t>
        </is>
      </c>
      <c r="B10" s="6" t="inlineStr">
        <is>
          <t>Creators cover games about body image if monetization-safe</t>
        </is>
      </c>
      <c r="C10" t="inlineStr">
        <is>
          <t>C1</t>
        </is>
      </c>
      <c r="D10">
        <f>COUNTIF('Interview log'!U2:U200,"Supports")</f>
        <v/>
      </c>
      <c r="E10">
        <f>COUNTIF('Interview log'!U2:U200,"Contradicts")</f>
        <v/>
      </c>
      <c r="F10" s="5">
        <f>'Survey summary'!B9</f>
        <v/>
      </c>
      <c r="G10">
        <f>IF(D10+E10=0,"Not tested",IF(AND(D10&gt;=3,D10&gt;=2*E10),"Likely true",IF(E10&gt;D10,"Likely false","Unclear")))</f>
        <v/>
      </c>
    </row>
  </sheetData>
  <dataValidations count="1">
    <dataValidation sqref="H2:H20" showDropDown="0" showInputMessage="0" showErrorMessage="0" allowBlank="1" type="list">
      <formula1>"Validated,Invalidated,Unclear,Not tested"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2026-10-29T04:03:46Z</dcterms:created>
  <dcterms:modified xsi:type="dcterms:W3CDTF">2026-10-29T04:03:46Z</dcterms:modified>
</cp:coreProperties>
</file>